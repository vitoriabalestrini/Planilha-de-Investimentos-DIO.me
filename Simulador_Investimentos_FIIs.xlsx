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8E07CA0-7800-42D3-9EC1-93CE393E7B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imulador" sheetId="1" r:id="rId1"/>
    <sheet name="Apoio" sheetId="2" r:id="rId2"/>
  </sheets>
  <definedNames>
    <definedName name="aporte">Simulador!$D$15</definedName>
    <definedName name="aporte_sugerido">Simulador!$D$9</definedName>
    <definedName name="salario">Simulador!$D$7</definedName>
    <definedName name="taxa_mensal">Simulador!$D$17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1" l="1"/>
  <c r="E45" i="1"/>
  <c r="D45" i="1"/>
  <c r="C45" i="1"/>
  <c r="E44" i="1"/>
  <c r="C44" i="1"/>
  <c r="D44" i="1" s="1"/>
  <c r="E43" i="1"/>
  <c r="C43" i="1"/>
  <c r="D43" i="1" s="1"/>
  <c r="E42" i="1"/>
  <c r="D42" i="1"/>
  <c r="C42" i="1"/>
  <c r="E41" i="1"/>
  <c r="D41" i="1"/>
  <c r="C41" i="1"/>
  <c r="E40" i="1"/>
  <c r="C40" i="1"/>
  <c r="D40" i="1" s="1"/>
  <c r="D46" i="1" s="1"/>
  <c r="H32" i="1"/>
  <c r="C32" i="1"/>
  <c r="D32" i="1" s="1"/>
  <c r="I31" i="1"/>
  <c r="J31" i="1" s="1"/>
  <c r="K31" i="1" s="1"/>
  <c r="H31" i="1"/>
  <c r="C31" i="1"/>
  <c r="D31" i="1" s="1"/>
  <c r="H30" i="1"/>
  <c r="C30" i="1"/>
  <c r="D30" i="1" s="1"/>
  <c r="H29" i="1"/>
  <c r="C29" i="1"/>
  <c r="D29" i="1" s="1"/>
  <c r="H28" i="1"/>
  <c r="C28" i="1"/>
  <c r="D28" i="1" s="1"/>
  <c r="D20" i="1"/>
  <c r="D17" i="1"/>
  <c r="E29" i="1" s="1"/>
  <c r="F29" i="1" s="1"/>
  <c r="I16" i="1"/>
  <c r="D9" i="1"/>
  <c r="I30" i="1" s="1"/>
  <c r="J30" i="1" s="1"/>
  <c r="K30" i="1" s="1"/>
  <c r="I15" i="1" l="1"/>
  <c r="E31" i="1"/>
  <c r="F31" i="1" s="1"/>
  <c r="I17" i="1"/>
  <c r="D18" i="1"/>
  <c r="I32" i="1"/>
  <c r="J32" i="1" s="1"/>
  <c r="K32" i="1" s="1"/>
  <c r="E28" i="1"/>
  <c r="F28" i="1" s="1"/>
  <c r="I28" i="1"/>
  <c r="J28" i="1" s="1"/>
  <c r="K28" i="1" s="1"/>
  <c r="E32" i="1"/>
  <c r="F32" i="1" s="1"/>
  <c r="E30" i="1"/>
  <c r="F30" i="1" s="1"/>
  <c r="I29" i="1"/>
  <c r="J29" i="1" s="1"/>
  <c r="K29" i="1" s="1"/>
  <c r="D21" i="1" l="1"/>
  <c r="D19" i="1"/>
  <c r="I20" i="1"/>
  <c r="I18" i="1"/>
  <c r="I21" i="1" l="1"/>
  <c r="I19" i="1"/>
</calcChain>
</file>

<file path=xl/sharedStrings.xml><?xml version="1.0" encoding="utf-8"?>
<sst xmlns="http://schemas.openxmlformats.org/spreadsheetml/2006/main" count="113" uniqueCount="71">
  <si>
    <t>FII  |  PLANEJADOR DE PATRIMÔNIO</t>
  </si>
  <si>
    <t>Simule aportes mensais, renda passiva e alocação por perfil  •  valores nominais</t>
  </si>
  <si>
    <t>01  CONFIGURAÇÕES</t>
  </si>
  <si>
    <t>Salário mensal (R$)</t>
  </si>
  <si>
    <t>Rendimento mensal da carteira</t>
  </si>
  <si>
    <t>Aporte sugerido (30% do salário)</t>
  </si>
  <si>
    <t>Percentual sugerido do salário</t>
  </si>
  <si>
    <t>02  SIMULAÇÃO PRINCIPAL</t>
  </si>
  <si>
    <t>SIMULAÇÃO COM 30% DO SALÁRIO</t>
  </si>
  <si>
    <t>Quanto investir por mês? (R$)</t>
  </si>
  <si>
    <t>Aporte mensal sugerido</t>
  </si>
  <si>
    <t>Por quantos anos?</t>
  </si>
  <si>
    <t>Prazo (anos)</t>
  </si>
  <si>
    <t>Taxa de rendimento mensal</t>
  </si>
  <si>
    <t>Rendimento mensal</t>
  </si>
  <si>
    <t>Patrimônio acumulado (R$)</t>
  </si>
  <si>
    <t>Patrimônio estimado</t>
  </si>
  <si>
    <t>Dividendos mensais estimados (R$)</t>
  </si>
  <si>
    <t>Dividendos por mês</t>
  </si>
  <si>
    <t>Total de aportes (R$)</t>
  </si>
  <si>
    <t>Total aportado</t>
  </si>
  <si>
    <t>Rendimentos acumulados (R$)</t>
  </si>
  <si>
    <t>Rendimentos acumulados</t>
  </si>
  <si>
    <t>Perfil de investidor</t>
  </si>
  <si>
    <t>Moderado</t>
  </si>
  <si>
    <t>03  CENÁRIOS DE LONGO PRAZO</t>
  </si>
  <si>
    <t>Aporte mensal (R$)</t>
  </si>
  <si>
    <t>Total investido (R$)</t>
  </si>
  <si>
    <t>Patrimônio final (R$)</t>
  </si>
  <si>
    <t>Dividendos/mês (R$)</t>
  </si>
  <si>
    <t>Aporte sugerido (R$)</t>
  </si>
  <si>
    <t>04  ALOCAÇÃO DE FIIs POR PERFIL</t>
  </si>
  <si>
    <t>Tipo de FII</t>
  </si>
  <si>
    <t>% da carteira</t>
  </si>
  <si>
    <t>Perfil selecionado</t>
  </si>
  <si>
    <t>PAPEL</t>
  </si>
  <si>
    <t>TIJOLO</t>
  </si>
  <si>
    <t>HÍBRIDOS</t>
  </si>
  <si>
    <t>FOFs</t>
  </si>
  <si>
    <t>DESENVOLVIMENTO</t>
  </si>
  <si>
    <t>HOTELARIAS</t>
  </si>
  <si>
    <t>TOTAL</t>
  </si>
  <si>
    <t>Premissas ilustrativas: rendimento e dividendos são estimativas constantes, antes de impostos, custos e inflação; não há garantia de retorno.</t>
  </si>
  <si>
    <t>CHAVE</t>
  </si>
  <si>
    <t>PERFIL</t>
  </si>
  <si>
    <t>TIPO DE FII</t>
  </si>
  <si>
    <t>PERCENTUAL</t>
  </si>
  <si>
    <t>Perfis / lista</t>
  </si>
  <si>
    <t>Conservador-PAPEL</t>
  </si>
  <si>
    <t>Conservador</t>
  </si>
  <si>
    <t>Conservador-TIJOLO</t>
  </si>
  <si>
    <t>Conservador-HÍBRIDOS</t>
  </si>
  <si>
    <t>Agressivo</t>
  </si>
  <si>
    <t>Conservador-FOFs</t>
  </si>
  <si>
    <t>Conservador-DESENVOLVIMENTO</t>
  </si>
  <si>
    <t>Origem dos pesos: arquivo modelo fornecido.</t>
  </si>
  <si>
    <t>Conservador-HOTELARIAS</t>
  </si>
  <si>
    <t>Agressivo: pesos completados para somar 100%.</t>
  </si>
  <si>
    <t>Moderado-PAPEL</t>
  </si>
  <si>
    <t>Premissas editáveis; não representam recomendação.</t>
  </si>
  <si>
    <t>Moderado-TIJOLO</t>
  </si>
  <si>
    <t>Moderado-HÍBRIDOS</t>
  </si>
  <si>
    <t>Moderado-FOFs</t>
  </si>
  <si>
    <t>Moderado-DESENVOLVIMENTO</t>
  </si>
  <si>
    <t>Moderado-HOTELARIAS</t>
  </si>
  <si>
    <t>Agressivo-PAPEL</t>
  </si>
  <si>
    <t>Agressivo-TIJOLO</t>
  </si>
  <si>
    <t>Agressivo-HÍBRIDOS</t>
  </si>
  <si>
    <t>Agressivo-FOFs</t>
  </si>
  <si>
    <t>Agressivo-DESENVOLVIMENTO</t>
  </si>
  <si>
    <t>Agressivo-HOTELARIAS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</si>
</sst>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\(&quot;R$ &quot;#,##0.00\);&quot;-&quot;"/>
    <numFmt numFmtId="165" formatCode="0.00%;[Red]\(0.00%\);&quot;-&quot;"/>
    <numFmt numFmtId="166" formatCode="0;[Red]\(0\);&quot;-&quot;"/>
  </numFmts>
  <fonts count="8">
    <font>
      <sz val="11"/>
      <name val="Carlito"/>
    </font>
    <font>
      <b/>
      <sz val="18"/>
      <color rgb="FFFFFFFF"/>
      <name val="Carlito"/>
    </font>
    <font>
      <sz val="10"/>
      <color rgb="FF12243B"/>
      <name val="Carlito"/>
    </font>
    <font>
      <b/>
      <sz val="11"/>
      <color rgb="FFFFFFFF"/>
      <name val="Carlito"/>
    </font>
    <font>
      <sz val="11"/>
      <color rgb="FF174BE8"/>
      <name val="Carlito"/>
    </font>
    <font>
      <sz val="11"/>
      <color rgb="FF111827"/>
      <name val="Carlito"/>
    </font>
    <font>
      <b/>
      <sz val="11"/>
      <color rgb="FF111827"/>
      <name val="Carlito"/>
    </font>
    <font>
      <sz val="9"/>
      <color rgb="FF52637B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2243B"/>
      </patternFill>
    </fill>
    <fill>
      <patternFill patternType="solid">
        <fgColor rgb="FFE9F2F5"/>
      </patternFill>
    </fill>
    <fill>
      <patternFill patternType="solid">
        <fgColor rgb="FFFFF5DA"/>
      </patternFill>
    </fill>
    <fill>
      <patternFill patternType="solid">
        <fgColor rgb="FFE7EBF0"/>
      </patternFill>
    </fill>
    <fill>
      <patternFill patternType="solid">
        <fgColor rgb="FF087E8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NumberFormat="1" applyFont="1" applyFill="1" applyBorder="1"/>
    <xf numFmtId="0" fontId="4" fillId="4" borderId="0" xfId="0" applyNumberFormat="1" applyFont="1" applyFill="1" applyBorder="1"/>
    <xf numFmtId="164" fontId="4" fillId="4" borderId="0" xfId="0" applyNumberFormat="1" applyFont="1" applyFill="1" applyBorder="1"/>
    <xf numFmtId="164" fontId="5" fillId="5" borderId="0" xfId="0" applyNumberFormat="1" applyFont="1" applyFill="1" applyBorder="1"/>
    <xf numFmtId="164" fontId="6" fillId="5" borderId="0" xfId="0" applyNumberFormat="1" applyFont="1" applyFill="1" applyBorder="1"/>
    <xf numFmtId="165" fontId="4" fillId="4" borderId="0" xfId="0" applyNumberFormat="1" applyFont="1" applyFill="1" applyBorder="1"/>
    <xf numFmtId="165" fontId="5" fillId="5" borderId="0" xfId="0" applyNumberFormat="1" applyFont="1" applyFill="1" applyBorder="1"/>
    <xf numFmtId="166" fontId="4" fillId="4" borderId="0" xfId="0" applyNumberFormat="1" applyFont="1" applyFill="1" applyBorder="1"/>
    <xf numFmtId="166" fontId="5" fillId="5" borderId="0" xfId="0" applyNumberFormat="1" applyFont="1" applyFill="1" applyBorder="1"/>
    <xf numFmtId="0" fontId="3" fillId="6" borderId="0" xfId="0" applyNumberFormat="1" applyFont="1" applyFill="1" applyBorder="1"/>
    <xf numFmtId="0" fontId="3" fillId="6" borderId="0" xfId="0" applyNumberFormat="1" applyFont="1" applyFill="1" applyBorder="1" applyAlignment="1">
      <alignment wrapText="1"/>
    </xf>
    <xf numFmtId="164" fontId="0" fillId="5" borderId="0" xfId="0" applyNumberFormat="1" applyFont="1" applyFill="1" applyBorder="1"/>
    <xf numFmtId="165" fontId="3" fillId="2" borderId="0" xfId="0" applyNumberFormat="1" applyFont="1" applyFill="1" applyBorder="1"/>
    <xf numFmtId="164" fontId="3" fillId="2" borderId="0" xfId="0" applyNumberFormat="1" applyFont="1" applyFill="1" applyBorder="1"/>
    <xf numFmtId="165" fontId="0" fillId="5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3" fillId="2" borderId="0" xfId="0" applyNumberFormat="1" applyFont="1" applyFill="1" applyBorder="1" applyAlignment="1">
      <alignment vertical="center"/>
    </xf>
    <xf numFmtId="0" fontId="7" fillId="3" borderId="0" xfId="0" applyNumberFormat="1" applyFont="1" applyFill="1" applyBorder="1" applyAlignment="1">
      <alignment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165" fontId="0" fillId="7" borderId="0" xfId="0" applyNumberFormat="1" applyFont="1" applyFill="1" applyBorder="1"/>
    <xf numFmtId="0" fontId="0" fillId="10" borderId="0" xfId="0" applyFill="1"/>
    <xf numFmtId="165" fontId="0" fillId="10" borderId="0" xfId="0" applyNumberFormat="1" applyFont="1" applyFill="1" applyBorder="1"/>
    <xf numFmtId="165" fontId="0" fillId="9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Evolução do patrimônio por prazo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C03-46A4-83EE-CEDFDC42B88A}"/>
            </c:ext>
          </c:extLst>
        </c:ser>
        <c:ser>
          <c:idx val="1"/>
          <c:order val="1"/>
          <c:tx>
            <c:v>Patrimônio estimado</c:v>
          </c:tx>
          <c:marker>
            <c:symbol val="none"/>
          </c:marker>
          <c:cat>
            <c:numRef>
              <c:f>Simulador!$B$28:$B$32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Simulador!$E$28:$E$32</c:f>
              <c:numCache>
                <c:formatCode>"R$ "#,##0.00;[Red]\("R$ "#,##0.00\);"-"</c:formatCode>
                <c:ptCount val="5"/>
                <c:pt idx="0">
                  <c:v>12865.607682079208</c:v>
                </c:pt>
                <c:pt idx="1">
                  <c:v>35982.367668429237</c:v>
                </c:pt>
                <c:pt idx="2">
                  <c:v>87501.504733170746</c:v>
                </c:pt>
                <c:pt idx="3">
                  <c:v>266881.16943317064</c:v>
                </c:pt>
                <c:pt idx="4">
                  <c:v>634612.72109054984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03-46A4-83EE-CEDFDC42B88A}"/>
            </c:ext>
          </c:extLst>
        </c:ser>
        <c:ser>
          <c:idx val="2"/>
          <c:order val="2"/>
          <c:tx>
            <c:v>Aporte de 30%</c:v>
          </c:tx>
          <c:marker>
            <c:symbol val="none"/>
          </c:marker>
          <c:cat>
            <c:numRef>
              <c:f>Simulador!$B$28:$B$32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cat>
          <c:val>
            <c:numRef>
              <c:f>Simulador!$J$28:$J$32</c:f>
              <c:numCache>
                <c:formatCode>"R$ "#,##0.00;[Red]\("R$ "#,##0.00\);"-"</c:formatCode>
                <c:ptCount val="5"/>
                <c:pt idx="0">
                  <c:v>38596.823046237623</c:v>
                </c:pt>
                <c:pt idx="1">
                  <c:v>107947.1030052877</c:v>
                </c:pt>
                <c:pt idx="2">
                  <c:v>262504.51419951225</c:v>
                </c:pt>
                <c:pt idx="3">
                  <c:v>800643.50829951186</c:v>
                </c:pt>
                <c:pt idx="4">
                  <c:v>1903838.1632716495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3-46A4-83EE-CEDFDC42B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Distribuição do aporte por FII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% da carteira</c:v>
          </c:tx>
          <c:cat>
            <c:strRef>
              <c:f>Simulador!$B$40:$B$45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Simulador!$C$40:$C$45</c:f>
              <c:numCache>
                <c:formatCode>0.00%;[Red]\(0.00%\);"-"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A-4CF0-A8EB-28C2E2E44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49</xdr:row>
      <xdr:rowOff>0</xdr:rowOff>
    </xdr:from>
    <xdr:to>
      <xdr:col>11</xdr:col>
      <xdr:colOff>0</xdr:colOff>
      <xdr:row>65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11</xdr:col>
      <xdr:colOff>0</xdr:colOff>
      <xdr:row>49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8"/>
  <sheetViews>
    <sheetView showGridLines="0" tabSelected="1" workbookViewId="0">
      <pane ySplit="4" topLeftCell="A35" activePane="bottomLeft" state="frozen"/>
      <selection pane="bottomLeft" activeCell="D22" sqref="D22"/>
    </sheetView>
  </sheetViews>
  <sheetFormatPr defaultRowHeight="14.25"/>
  <cols>
    <col min="1" max="1" width="3" customWidth="1"/>
    <col min="2" max="2" width="27" customWidth="1"/>
    <col min="3" max="4" width="19" customWidth="1"/>
    <col min="5" max="5" width="20" customWidth="1"/>
    <col min="6" max="11" width="18" customWidth="1"/>
    <col min="12" max="12" width="16" customWidth="1"/>
  </cols>
  <sheetData>
    <row r="2" spans="2:11" ht="26.1" customHeight="1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</row>
    <row r="3" spans="2:11" ht="26.1" customHeight="1"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2:11" ht="24" customHeight="1">
      <c r="B4" s="17" t="s">
        <v>1</v>
      </c>
      <c r="C4" s="17"/>
      <c r="D4" s="17"/>
      <c r="E4" s="17"/>
      <c r="F4" s="17"/>
      <c r="G4" s="17"/>
      <c r="H4" s="17"/>
      <c r="I4" s="17"/>
      <c r="J4" s="17"/>
      <c r="K4" s="17"/>
    </row>
    <row r="6" spans="2:11" ht="27" customHeight="1">
      <c r="B6" s="18" t="s">
        <v>2</v>
      </c>
      <c r="C6" s="18"/>
      <c r="D6" s="18"/>
      <c r="E6" s="18"/>
      <c r="F6" s="18"/>
      <c r="G6" s="18"/>
      <c r="H6" s="18"/>
      <c r="I6" s="18"/>
      <c r="J6" s="18"/>
      <c r="K6" s="18"/>
    </row>
    <row r="7" spans="2:11" ht="23.1" customHeight="1">
      <c r="B7" t="s">
        <v>3</v>
      </c>
      <c r="D7" s="3">
        <v>5000</v>
      </c>
    </row>
    <row r="8" spans="2:11" ht="23.1" customHeight="1">
      <c r="B8" t="s">
        <v>4</v>
      </c>
      <c r="D8" s="6">
        <v>6.0000000000000001E-3</v>
      </c>
    </row>
    <row r="9" spans="2:11" ht="23.1" customHeight="1">
      <c r="B9" t="s">
        <v>5</v>
      </c>
      <c r="D9" s="4">
        <f>D7*D10</f>
        <v>1500</v>
      </c>
    </row>
    <row r="10" spans="2:11" ht="23.1" customHeight="1">
      <c r="B10" t="s">
        <v>6</v>
      </c>
      <c r="D10" s="6">
        <v>0.3</v>
      </c>
    </row>
    <row r="13" spans="2:11" ht="27" customHeight="1">
      <c r="B13" s="18" t="s">
        <v>7</v>
      </c>
      <c r="C13" s="18"/>
      <c r="D13" s="18"/>
      <c r="E13" s="18"/>
      <c r="F13" s="18"/>
      <c r="G13" s="18"/>
      <c r="H13" s="18" t="s">
        <v>8</v>
      </c>
      <c r="I13" s="18"/>
      <c r="J13" s="18"/>
      <c r="K13" s="18"/>
    </row>
    <row r="15" spans="2:11" ht="23.1" customHeight="1">
      <c r="B15" t="s">
        <v>9</v>
      </c>
      <c r="D15" s="3">
        <v>500</v>
      </c>
      <c r="H15" t="s">
        <v>10</v>
      </c>
      <c r="I15" s="4">
        <f>aporte_sugerido</f>
        <v>1500</v>
      </c>
    </row>
    <row r="16" spans="2:11" ht="23.1" customHeight="1">
      <c r="B16" t="s">
        <v>11</v>
      </c>
      <c r="D16" s="8">
        <v>5</v>
      </c>
      <c r="H16" t="s">
        <v>12</v>
      </c>
      <c r="I16" s="9">
        <f>D16</f>
        <v>5</v>
      </c>
    </row>
    <row r="17" spans="2:11" ht="23.1" customHeight="1">
      <c r="B17" t="s">
        <v>13</v>
      </c>
      <c r="D17" s="7">
        <f>D8</f>
        <v>6.0000000000000001E-3</v>
      </c>
      <c r="H17" t="s">
        <v>14</v>
      </c>
      <c r="I17" s="7">
        <f>taxa_mensal</f>
        <v>6.0000000000000001E-3</v>
      </c>
    </row>
    <row r="18" spans="2:11" ht="23.1" customHeight="1">
      <c r="B18" t="s">
        <v>15</v>
      </c>
      <c r="D18" s="5">
        <f>FV(taxa_mensal,D16*12,-aporte,0,0)</f>
        <v>35982.367668429237</v>
      </c>
      <c r="H18" t="s">
        <v>16</v>
      </c>
      <c r="I18" s="5">
        <f>FV(taxa_mensal,I16*12,-I15,0,0)</f>
        <v>107947.1030052877</v>
      </c>
    </row>
    <row r="19" spans="2:11" ht="23.1" customHeight="1">
      <c r="B19" t="s">
        <v>17</v>
      </c>
      <c r="D19" s="5">
        <f>D18*taxa_mensal</f>
        <v>215.89420601057543</v>
      </c>
      <c r="H19" t="s">
        <v>18</v>
      </c>
      <c r="I19" s="5">
        <f>I18*taxa_mensal</f>
        <v>647.68261803172618</v>
      </c>
    </row>
    <row r="20" spans="2:11" ht="23.1" customHeight="1">
      <c r="B20" t="s">
        <v>19</v>
      </c>
      <c r="D20" s="4">
        <f>aporte*D16*12</f>
        <v>30000</v>
      </c>
      <c r="H20" t="s">
        <v>20</v>
      </c>
      <c r="I20" s="4">
        <f>I15*I16*12</f>
        <v>90000</v>
      </c>
    </row>
    <row r="21" spans="2:11" ht="23.1" customHeight="1">
      <c r="B21" t="s">
        <v>21</v>
      </c>
      <c r="D21" s="4">
        <f>D18-D20</f>
        <v>5982.3676684292368</v>
      </c>
      <c r="H21" t="s">
        <v>22</v>
      </c>
      <c r="I21" s="4">
        <f>I18-I20</f>
        <v>17947.103005287703</v>
      </c>
    </row>
    <row r="22" spans="2:11" ht="23.1" customHeight="1">
      <c r="B22" t="s">
        <v>23</v>
      </c>
      <c r="D22" s="2" t="s">
        <v>24</v>
      </c>
    </row>
    <row r="25" spans="2:11" ht="27" customHeight="1">
      <c r="B25" s="18" t="s">
        <v>25</v>
      </c>
      <c r="C25" s="18"/>
      <c r="D25" s="18"/>
      <c r="E25" s="18"/>
      <c r="F25" s="18"/>
      <c r="G25" s="18"/>
      <c r="H25" s="18"/>
      <c r="I25" s="18"/>
      <c r="J25" s="18"/>
      <c r="K25" s="18"/>
    </row>
    <row r="27" spans="2:11" ht="30.95" customHeight="1">
      <c r="B27" s="11" t="s">
        <v>12</v>
      </c>
      <c r="C27" s="11" t="s">
        <v>26</v>
      </c>
      <c r="D27" s="11" t="s">
        <v>27</v>
      </c>
      <c r="E27" s="11" t="s">
        <v>28</v>
      </c>
      <c r="F27" s="11" t="s">
        <v>29</v>
      </c>
      <c r="H27" s="11" t="s">
        <v>12</v>
      </c>
      <c r="I27" s="11" t="s">
        <v>30</v>
      </c>
      <c r="J27" s="11" t="s">
        <v>28</v>
      </c>
      <c r="K27" s="11" t="s">
        <v>29</v>
      </c>
    </row>
    <row r="28" spans="2:11">
      <c r="B28">
        <v>2</v>
      </c>
      <c r="C28" s="12">
        <f>aporte</f>
        <v>500</v>
      </c>
      <c r="D28" s="12">
        <f>C28*B28*12</f>
        <v>12000</v>
      </c>
      <c r="E28" s="12">
        <f>FV(taxa_mensal,B28*12,-C28,0,0)</f>
        <v>12865.607682079208</v>
      </c>
      <c r="F28" s="12">
        <f>E28*taxa_mensal</f>
        <v>77.193646092475248</v>
      </c>
      <c r="H28">
        <f>B28</f>
        <v>2</v>
      </c>
      <c r="I28" s="12">
        <f>aporte_sugerido</f>
        <v>1500</v>
      </c>
      <c r="J28" s="12">
        <f>FV(taxa_mensal,H28*12,-I28,0,0)</f>
        <v>38596.823046237623</v>
      </c>
      <c r="K28" s="12">
        <f>J28*taxa_mensal</f>
        <v>231.58093827742573</v>
      </c>
    </row>
    <row r="29" spans="2:11">
      <c r="B29">
        <v>5</v>
      </c>
      <c r="C29" s="12">
        <f>aporte</f>
        <v>500</v>
      </c>
      <c r="D29" s="12">
        <f>C29*B29*12</f>
        <v>30000</v>
      </c>
      <c r="E29" s="12">
        <f>FV(taxa_mensal,B29*12,-C29,0,0)</f>
        <v>35982.367668429237</v>
      </c>
      <c r="F29" s="12">
        <f>E29*taxa_mensal</f>
        <v>215.89420601057543</v>
      </c>
      <c r="H29">
        <f>B29</f>
        <v>5</v>
      </c>
      <c r="I29" s="12">
        <f>aporte_sugerido</f>
        <v>1500</v>
      </c>
      <c r="J29" s="12">
        <f>FV(taxa_mensal,H29*12,-I29,0,0)</f>
        <v>107947.1030052877</v>
      </c>
      <c r="K29" s="12">
        <f>J29*taxa_mensal</f>
        <v>647.68261803172618</v>
      </c>
    </row>
    <row r="30" spans="2:11">
      <c r="B30">
        <v>10</v>
      </c>
      <c r="C30" s="12">
        <f>aporte</f>
        <v>500</v>
      </c>
      <c r="D30" s="12">
        <f>C30*B30*12</f>
        <v>60000</v>
      </c>
      <c r="E30" s="12">
        <f>FV(taxa_mensal,B30*12,-C30,0,0)</f>
        <v>87501.504733170746</v>
      </c>
      <c r="F30" s="12">
        <f>E30*taxa_mensal</f>
        <v>525.00902839902449</v>
      </c>
      <c r="H30">
        <f>B30</f>
        <v>10</v>
      </c>
      <c r="I30" s="12">
        <f>aporte_sugerido</f>
        <v>1500</v>
      </c>
      <c r="J30" s="12">
        <f>FV(taxa_mensal,H30*12,-I30,0,0)</f>
        <v>262504.51419951225</v>
      </c>
      <c r="K30" s="12">
        <f>J30*taxa_mensal</f>
        <v>1575.0270851970736</v>
      </c>
    </row>
    <row r="31" spans="2:11">
      <c r="B31">
        <v>20</v>
      </c>
      <c r="C31" s="12">
        <f>aporte</f>
        <v>500</v>
      </c>
      <c r="D31" s="12">
        <f>C31*B31*12</f>
        <v>120000</v>
      </c>
      <c r="E31" s="12">
        <f>FV(taxa_mensal,B31*12,-C31,0,0)</f>
        <v>266881.16943317064</v>
      </c>
      <c r="F31" s="12">
        <f>E31*taxa_mensal</f>
        <v>1601.2870165990239</v>
      </c>
      <c r="H31">
        <f>B31</f>
        <v>20</v>
      </c>
      <c r="I31" s="12">
        <f>aporte_sugerido</f>
        <v>1500</v>
      </c>
      <c r="J31" s="12">
        <f>FV(taxa_mensal,H31*12,-I31,0,0)</f>
        <v>800643.50829951186</v>
      </c>
      <c r="K31" s="12">
        <f>J31*taxa_mensal</f>
        <v>4803.8610497970712</v>
      </c>
    </row>
    <row r="32" spans="2:11">
      <c r="B32">
        <v>30</v>
      </c>
      <c r="C32" s="12">
        <f>aporte</f>
        <v>500</v>
      </c>
      <c r="D32" s="12">
        <f>C32*B32*12</f>
        <v>180000</v>
      </c>
      <c r="E32" s="12">
        <f>FV(taxa_mensal,B32*12,-C32,0,0)</f>
        <v>634612.72109054984</v>
      </c>
      <c r="F32" s="12">
        <f>E32*taxa_mensal</f>
        <v>3807.6763265432992</v>
      </c>
      <c r="H32">
        <f>B32</f>
        <v>30</v>
      </c>
      <c r="I32" s="12">
        <f>aporte_sugerido</f>
        <v>1500</v>
      </c>
      <c r="J32" s="12">
        <f>FV(taxa_mensal,H32*12,-I32,0,0)</f>
        <v>1903838.1632716495</v>
      </c>
      <c r="K32" s="12">
        <f>J32*taxa_mensal</f>
        <v>11423.028979629897</v>
      </c>
    </row>
    <row r="37" spans="2:11" ht="27" customHeight="1"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</row>
    <row r="39" spans="2:11" ht="26.1" customHeight="1">
      <c r="B39" s="10" t="s">
        <v>32</v>
      </c>
      <c r="C39" s="10" t="s">
        <v>33</v>
      </c>
      <c r="D39" s="10" t="s">
        <v>26</v>
      </c>
      <c r="E39" s="10" t="s">
        <v>34</v>
      </c>
    </row>
    <row r="40" spans="2:11">
      <c r="B40" t="s">
        <v>35</v>
      </c>
      <c r="C40" s="15">
        <f>VLOOKUP($D$22&amp;"-"&amp;B40,Apoio!$B$3:$E$20,4,FALSE)</f>
        <v>0.32</v>
      </c>
      <c r="D40" s="12">
        <f t="shared" ref="D40:D45" si="0">aporte*C40</f>
        <v>160</v>
      </c>
      <c r="E40" t="str">
        <f t="shared" ref="E40:E45" si="1">$D$22</f>
        <v>Moderado</v>
      </c>
    </row>
    <row r="41" spans="2:11">
      <c r="B41" t="s">
        <v>36</v>
      </c>
      <c r="C41" s="15">
        <f>VLOOKUP($D$22&amp;"-"&amp;B41,Apoio!$B$3:$E$20,4,FALSE)</f>
        <v>0.35</v>
      </c>
      <c r="D41" s="12">
        <f t="shared" si="0"/>
        <v>175</v>
      </c>
      <c r="E41" t="str">
        <f t="shared" si="1"/>
        <v>Moderado</v>
      </c>
    </row>
    <row r="42" spans="2:11">
      <c r="B42" t="s">
        <v>37</v>
      </c>
      <c r="C42" s="15">
        <f>VLOOKUP($D$22&amp;"-"&amp;B42,Apoio!$B$3:$E$20,4,FALSE)</f>
        <v>0.08</v>
      </c>
      <c r="D42" s="12">
        <f t="shared" si="0"/>
        <v>40</v>
      </c>
      <c r="E42" t="str">
        <f t="shared" si="1"/>
        <v>Moderado</v>
      </c>
    </row>
    <row r="43" spans="2:11">
      <c r="B43" t="s">
        <v>38</v>
      </c>
      <c r="C43" s="15">
        <f>VLOOKUP($D$22&amp;"-"&amp;B43,Apoio!$B$3:$E$20,4,FALSE)</f>
        <v>0.05</v>
      </c>
      <c r="D43" s="12">
        <f t="shared" si="0"/>
        <v>25</v>
      </c>
      <c r="E43" t="str">
        <f t="shared" si="1"/>
        <v>Moderado</v>
      </c>
    </row>
    <row r="44" spans="2:11">
      <c r="B44" t="s">
        <v>39</v>
      </c>
      <c r="C44" s="15">
        <f>VLOOKUP($D$22&amp;"-"&amp;B44,Apoio!$B$3:$E$20,4,FALSE)</f>
        <v>0.1</v>
      </c>
      <c r="D44" s="12">
        <f t="shared" si="0"/>
        <v>50</v>
      </c>
      <c r="E44" t="str">
        <f t="shared" si="1"/>
        <v>Moderado</v>
      </c>
    </row>
    <row r="45" spans="2:11">
      <c r="B45" t="s">
        <v>40</v>
      </c>
      <c r="C45" s="15">
        <f>VLOOKUP($D$22&amp;"-"&amp;B45,Apoio!$B$3:$E$20,4,FALSE)</f>
        <v>0.1</v>
      </c>
      <c r="D45" s="12">
        <f t="shared" si="0"/>
        <v>50</v>
      </c>
      <c r="E45" t="str">
        <f t="shared" si="1"/>
        <v>Moderado</v>
      </c>
    </row>
    <row r="46" spans="2:11" ht="15">
      <c r="B46" s="1" t="s">
        <v>41</v>
      </c>
      <c r="C46" s="13">
        <f>SUM(C40:C45)</f>
        <v>0.99999999999999989</v>
      </c>
      <c r="D46" s="14">
        <f>SUM(D40:D45)</f>
        <v>500</v>
      </c>
      <c r="E46" s="1"/>
    </row>
    <row r="48" spans="2:11" ht="32.1" customHeight="1">
      <c r="B48" s="19" t="s">
        <v>42</v>
      </c>
      <c r="C48" s="19"/>
      <c r="D48" s="19"/>
      <c r="E48" s="19"/>
      <c r="F48" s="19"/>
      <c r="G48" s="19"/>
      <c r="H48" s="19"/>
      <c r="I48" s="19"/>
      <c r="J48" s="19"/>
      <c r="K48" s="19"/>
    </row>
  </sheetData>
  <mergeCells count="7">
    <mergeCell ref="B37:K37"/>
    <mergeCell ref="B48:K48"/>
    <mergeCell ref="B2:K3"/>
    <mergeCell ref="B4:K4"/>
    <mergeCell ref="B6:K6"/>
    <mergeCell ref="B13:K13"/>
    <mergeCell ref="B25:K25"/>
  </mergeCells>
  <dataValidations count="1">
    <dataValidation type="list" sqref="D22" xr:uid="{00000000-0002-0000-0000-000000000000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0"/>
  <sheetViews>
    <sheetView showGridLines="0" workbookViewId="0">
      <selection activeCell="D15" sqref="D15"/>
    </sheetView>
  </sheetViews>
  <sheetFormatPr defaultRowHeight="14.25"/>
  <cols>
    <col min="1" max="1" width="3" customWidth="1"/>
    <col min="2" max="2" width="27" customWidth="1"/>
    <col min="3" max="4" width="19" customWidth="1"/>
    <col min="5" max="5" width="20" customWidth="1"/>
    <col min="6" max="11" width="18" customWidth="1"/>
    <col min="12" max="12" width="16" customWidth="1"/>
  </cols>
  <sheetData>
    <row r="2" spans="2:7" ht="26.1" customHeight="1">
      <c r="B2" s="1" t="s">
        <v>43</v>
      </c>
      <c r="C2" s="1" t="s">
        <v>44</v>
      </c>
      <c r="D2" s="1" t="s">
        <v>45</v>
      </c>
      <c r="E2" s="1" t="s">
        <v>46</v>
      </c>
      <c r="G2" t="s">
        <v>47</v>
      </c>
    </row>
    <row r="3" spans="2:7">
      <c r="B3" s="20" t="s">
        <v>48</v>
      </c>
      <c r="C3" s="20" t="s">
        <v>49</v>
      </c>
      <c r="D3" s="20" t="s">
        <v>35</v>
      </c>
      <c r="E3" s="23">
        <v>0.3</v>
      </c>
      <c r="G3" s="20" t="s">
        <v>49</v>
      </c>
    </row>
    <row r="4" spans="2:7">
      <c r="B4" s="20" t="s">
        <v>50</v>
      </c>
      <c r="C4" s="20" t="s">
        <v>49</v>
      </c>
      <c r="D4" s="20" t="s">
        <v>36</v>
      </c>
      <c r="E4" s="23">
        <v>0.5</v>
      </c>
      <c r="G4" s="21" t="s">
        <v>24</v>
      </c>
    </row>
    <row r="5" spans="2:7">
      <c r="B5" s="20" t="s">
        <v>51</v>
      </c>
      <c r="C5" s="20" t="s">
        <v>49</v>
      </c>
      <c r="D5" s="20" t="s">
        <v>37</v>
      </c>
      <c r="E5" s="23">
        <v>0.1</v>
      </c>
      <c r="G5" s="22" t="s">
        <v>52</v>
      </c>
    </row>
    <row r="6" spans="2:7">
      <c r="B6" s="20" t="s">
        <v>53</v>
      </c>
      <c r="C6" s="20" t="s">
        <v>49</v>
      </c>
      <c r="D6" s="20" t="s">
        <v>38</v>
      </c>
      <c r="E6" s="23">
        <v>0.1</v>
      </c>
    </row>
    <row r="7" spans="2:7">
      <c r="B7" s="20" t="s">
        <v>54</v>
      </c>
      <c r="C7" s="20" t="s">
        <v>49</v>
      </c>
      <c r="D7" s="20" t="s">
        <v>39</v>
      </c>
      <c r="E7" s="23">
        <v>0</v>
      </c>
      <c r="G7" t="s">
        <v>55</v>
      </c>
    </row>
    <row r="8" spans="2:7">
      <c r="B8" s="20" t="s">
        <v>56</v>
      </c>
      <c r="C8" s="20" t="s">
        <v>49</v>
      </c>
      <c r="D8" s="20" t="s">
        <v>40</v>
      </c>
      <c r="E8" s="23">
        <v>0</v>
      </c>
      <c r="G8" t="s">
        <v>57</v>
      </c>
    </row>
    <row r="9" spans="2:7">
      <c r="B9" s="24" t="s">
        <v>58</v>
      </c>
      <c r="C9" s="24" t="s">
        <v>24</v>
      </c>
      <c r="D9" s="24" t="s">
        <v>35</v>
      </c>
      <c r="E9" s="25">
        <v>0.32</v>
      </c>
      <c r="G9" t="s">
        <v>59</v>
      </c>
    </row>
    <row r="10" spans="2:7">
      <c r="B10" s="24" t="s">
        <v>60</v>
      </c>
      <c r="C10" s="24" t="s">
        <v>24</v>
      </c>
      <c r="D10" s="24" t="s">
        <v>36</v>
      </c>
      <c r="E10" s="25">
        <v>0.35</v>
      </c>
    </row>
    <row r="11" spans="2:7">
      <c r="B11" s="24" t="s">
        <v>61</v>
      </c>
      <c r="C11" s="24" t="s">
        <v>24</v>
      </c>
      <c r="D11" s="24" t="s">
        <v>37</v>
      </c>
      <c r="E11" s="25">
        <v>0.08</v>
      </c>
    </row>
    <row r="12" spans="2:7">
      <c r="B12" s="24" t="s">
        <v>62</v>
      </c>
      <c r="C12" s="24" t="s">
        <v>24</v>
      </c>
      <c r="D12" s="24" t="s">
        <v>38</v>
      </c>
      <c r="E12" s="25">
        <v>0.05</v>
      </c>
    </row>
    <row r="13" spans="2:7">
      <c r="B13" s="24" t="s">
        <v>63</v>
      </c>
      <c r="C13" s="24" t="s">
        <v>24</v>
      </c>
      <c r="D13" s="24" t="s">
        <v>39</v>
      </c>
      <c r="E13" s="25">
        <v>0.1</v>
      </c>
    </row>
    <row r="14" spans="2:7">
      <c r="B14" s="24" t="s">
        <v>64</v>
      </c>
      <c r="C14" s="24" t="s">
        <v>24</v>
      </c>
      <c r="D14" s="24" t="s">
        <v>40</v>
      </c>
      <c r="E14" s="25">
        <v>0.1</v>
      </c>
    </row>
    <row r="15" spans="2:7">
      <c r="B15" s="22" t="s">
        <v>65</v>
      </c>
      <c r="C15" s="22" t="s">
        <v>52</v>
      </c>
      <c r="D15" s="22" t="s">
        <v>35</v>
      </c>
      <c r="E15" s="26">
        <v>0.5</v>
      </c>
    </row>
    <row r="16" spans="2:7">
      <c r="B16" s="22" t="s">
        <v>66</v>
      </c>
      <c r="C16" s="22" t="s">
        <v>52</v>
      </c>
      <c r="D16" s="22" t="s">
        <v>36</v>
      </c>
      <c r="E16" s="26">
        <v>0.1</v>
      </c>
    </row>
    <row r="17" spans="2:5">
      <c r="B17" s="22" t="s">
        <v>67</v>
      </c>
      <c r="C17" s="22" t="s">
        <v>52</v>
      </c>
      <c r="D17" s="22" t="s">
        <v>37</v>
      </c>
      <c r="E17" s="26">
        <v>0.05</v>
      </c>
    </row>
    <row r="18" spans="2:5">
      <c r="B18" s="22" t="s">
        <v>68</v>
      </c>
      <c r="C18" s="22" t="s">
        <v>52</v>
      </c>
      <c r="D18" s="22" t="s">
        <v>38</v>
      </c>
      <c r="E18" s="26">
        <v>0.05</v>
      </c>
    </row>
    <row r="19" spans="2:5">
      <c r="B19" s="22" t="s">
        <v>69</v>
      </c>
      <c r="C19" s="22" t="s">
        <v>52</v>
      </c>
      <c r="D19" s="22" t="s">
        <v>39</v>
      </c>
      <c r="E19" s="26">
        <v>0.2</v>
      </c>
    </row>
    <row r="20" spans="2:5">
      <c r="B20" s="22" t="s">
        <v>70</v>
      </c>
      <c r="C20" s="22" t="s">
        <v>52</v>
      </c>
      <c r="D20" s="22" t="s">
        <v>40</v>
      </c>
      <c r="E20" s="2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Simulador</vt:lpstr>
      <vt:lpstr>Apoio</vt:lpstr>
      <vt:lpstr>aporte</vt:lpstr>
      <vt:lpstr>aporte_sugerido</vt:lpstr>
      <vt:lpstr>salario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2026-10-21T15:49:38Z</dcterms:created>
  <dcterms:modified xsi:type="dcterms:W3CDTF">2026-10-21T15:49:38Z</dcterms:modified>
</cp:coreProperties>
</file>